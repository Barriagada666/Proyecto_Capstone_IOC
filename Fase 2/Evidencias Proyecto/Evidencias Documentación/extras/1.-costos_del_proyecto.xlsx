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gar calculo mensual de las 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<sst xmlns="http://schemas.openxmlformats.org/spreadsheetml/2006/main" count="145" uniqueCount="115">
  <si>
    <t>Categoría</t>
  </si>
  <si>
    <t>Ítem/Detalle</t>
  </si>
  <si>
    <t>Horas (HH)</t>
  </si>
  <si>
    <t>Costo Mensual Promedio (CLP)</t>
  </si>
  <si>
    <t>Costo Total del Proyecto  (CLP)</t>
  </si>
  <si>
    <t>Inversión y Costos</t>
  </si>
  <si>
    <t>Servicios de Plataforma (Cloud)</t>
  </si>
  <si>
    <t>-</t>
  </si>
  <si>
    <t>Metabase</t>
  </si>
  <si>
    <t>Supabase</t>
  </si>
  <si>
    <t>Render</t>
  </si>
  <si>
    <t>AWS EC2</t>
  </si>
  <si>
    <t>Recursos Humanos</t>
  </si>
  <si>
    <t>Jaime Vicencio</t>
  </si>
  <si>
    <t>Boris Arriagada</t>
  </si>
  <si>
    <t>Totales del Proyecto</t>
  </si>
  <si>
    <t>Fuentes y Consideraciones:</t>
  </si>
  <si>
    <t>Hora Hombre (HH): El costo se calcula en base a 1 Hora Hombre = 1 UF. Para esta estimación se utilizó un valor de 1 UF = $39.506 CLP. El costo mensual de Recursos Humanos es un promedio distribuido a lo largo de la duración del proyecto.</t>
  </si>
  <si>
    <r>
      <t xml:space="preserve">Metabase: </t>
    </r>
    <r>
      <rPr>
        <b/>
        <color rgb="FF1155CC"/>
        <u/>
      </rPr>
      <t>https://www.metabase.com</t>
    </r>
  </si>
  <si>
    <r>
      <t xml:space="preserve">Supabase: </t>
    </r>
    <r>
      <rPr>
        <b/>
        <color rgb="FF1155CC"/>
        <u/>
      </rPr>
      <t>https://supabase.com</t>
    </r>
  </si>
  <si>
    <r>
      <t xml:space="preserve">Render: </t>
    </r>
    <r>
      <rPr>
        <b/>
        <color rgb="FF1155CC"/>
        <u/>
      </rPr>
      <t>https://render.com</t>
    </r>
  </si>
  <si>
    <r>
      <t xml:space="preserve">AWS EC2: </t>
    </r>
    <r>
      <rPr>
        <b/>
        <color rgb="FF1155CC"/>
        <u/>
      </rPr>
      <t>https://aws.amazon.com/ec2/</t>
    </r>
  </si>
  <si>
    <t>Competencia o unidades de competencias</t>
  </si>
  <si>
    <t>Nombre de  Actividades/Tareas</t>
  </si>
  <si>
    <t>Descripción Actividades/Tareas</t>
  </si>
  <si>
    <t>Recursos</t>
  </si>
  <si>
    <t>Duración de la actividad&lt;br&gt;</t>
  </si>
  <si>
    <t>Responsable</t>
  </si>
  <si>
    <t>Observaciones</t>
  </si>
  <si>
    <t>Gestión de Proyectos Informáticos</t>
  </si>
  <si>
    <t>Definición y Planificación Inicial</t>
  </si>
  <si>
    <t>Establecer los objetivos, el alcance inicial y la visión del proyecto. Redactar la fundamentación y la descripción general del proyecto APT.</t>
  </si>
  <si>
    <t>Plantillas de DUOC UC.</t>
  </si>
  <si>
    <t>4 días hábiles</t>
  </si>
  <si>
    <t>Ambos</t>
  </si>
  <si>
    <t>Esta actividad sienta las bases estratégicas y documentales del proyecto.</t>
  </si>
  <si>
    <t>Asignación de Roles</t>
  </si>
  <si>
    <t>Definir y documentar formalmente los roles de Product Owner y Scrum Master, junto con sus responsabilidades clave dentro del equipo.</t>
  </si>
  <si>
    <t>Guía de la asignatura.</t>
  </si>
  <si>
    <t>1 días hábiles</t>
  </si>
  <si>
    <t>Aclara la responsabilidad y la toma de decisiones, lo cual es crucial en un equipo pequeño.</t>
  </si>
  <si>
    <t>Análisis y Planificación de Requerimientos</t>
  </si>
  <si>
    <t>Toma de Requisitos y Creación de H.U.</t>
  </si>
  <si>
    <t>Realizar sesiones de trabajo para traducir las necesidades del negocio en un conjunto inicial de Historias de Usuario (H.U.) detalladas.</t>
  </si>
  <si>
    <t>Documento de Historias de Usuario.</t>
  </si>
  <si>
    <t>5 días hábiles</t>
  </si>
  <si>
    <t>Boris A. (P.O.), Jaime V. (S.M.)</t>
  </si>
  <si>
    <t>Es el puente entre la necesidad de negocio y la especificación técnica.</t>
  </si>
  <si>
    <t>Creación y Priorización del Product Backlog</t>
  </si>
  <si>
    <t>Consolidar todas las Historias de Usuario en un Product Backlog único y priorizarlas según el valor de negocio para definir el alcance del MVP.</t>
  </si>
  <si>
    <t>Herramienta de gestión (Trello, Jira, etc.).</t>
  </si>
  <si>
    <t>3 días hábiles</t>
  </si>
  <si>
    <t>Boris A. (P.O.)</t>
  </si>
  <si>
    <t>Asegura que el equipo siempre trabaje en las funcionalidades más importantes primero.</t>
  </si>
  <si>
    <t>Arquitectura de Software</t>
  </si>
  <si>
    <t>Definición de Arquitectura</t>
  </si>
  <si>
    <t>Analizar las alternativas técnicas y seleccionar la arquitectura final (React, Spring Boot, Supabase). Crear el diagrama de arquitectura de alto nivel.</t>
  </si>
  <si>
    <t>Documento de Arquitectura.</t>
  </si>
  <si>
    <t>Esta decisión técnica es fundamental para la viabilidad y escalabilidad del proyecto.</t>
  </si>
  <si>
    <t>Análisis y Desarrollo de Modelos de Datos</t>
  </si>
  <si>
    <t>Prototipado Técnico (EDA de Datos)</t>
  </si>
  <si>
    <t>Realizar un Análisis Exploratorio de Datos (EDA) sobre la muestra de datos para validar su formato y definir las reglas de transformación del ETL.</t>
  </si>
  <si>
    <t>Notebook de Colab (Python). Muestra de datos CSV.</t>
  </si>
  <si>
    <t>Reduce drásticamente el riesgo técnico en la implementación del ETL.</t>
  </si>
  <si>
    <t>Arquitectura de Software; Calidad de Software</t>
  </si>
  <si>
    <t>Sprint 0: Configuración de Entornos</t>
  </si>
  <si>
    <t>Crear los repositorios en GitHub, configurar el proyecto en Supabase (DB/Auth) y establecer los proyectos base de Spring Boot y React.</t>
  </si>
  <si>
    <t>Cuentas de GitHub y Supabase. IDEs. Git.</t>
  </si>
  <si>
    <t>Prepara toda la infraestructura técnica necesaria para comenzar el desarrollo.</t>
  </si>
  <si>
    <t>Hito 1: Exposición Grupal de Proyecto</t>
  </si>
  <si>
    <t>Presentar formalmente el documento de definición del proyecto y la planificación a la comisión evaluadora.</t>
  </si>
  <si>
    <t>Documento de Fase 1. Presentación PPT.</t>
  </si>
  <si>
    <t>&lt; 1 día hábil</t>
  </si>
  <si>
    <t>Cierre formal de la Fase 1 y validación de la planificación.</t>
  </si>
  <si>
    <t>Programación de Software</t>
  </si>
  <si>
    <t>Sprint 1: Fundación y Visualización (41 SP)</t>
  </si>
  <si>
    <t>Implementar historias: IOC-021 (Iniciar Sesión), IOC-022 (Cerrar Sesión), IOC-023 (Layout y Rutas Protegidas), IOC-001 (Cargar Archivo CSV), IOC-006 (Visualizar Dashboard). Objetivo: ciclo de valor completo end-to-end.</t>
  </si>
  <si>
    <t>Proyectos de Spring Boot y React. Base de Datos Supabase. Metabase.</t>
  </si>
  <si>
    <t>18 días hábiles (4 semanas)</t>
  </si>
  <si>
    <t>Jaime V. (Backend), Boris A. (Frontend)</t>
  </si>
  <si>
    <t>Sprint Goal: Administrador puede cargar datos y Gerente visualiza dashboard con KPIs.</t>
  </si>
  <si>
    <t>Inteligencia de Negocios</t>
  </si>
  <si>
    <t>Sprint 2: Interactividad Analítica (21 SP)</t>
  </si>
  <si>
    <t>Implementar historias: IOC-008 (Comparar Desempeño entre Entidades), IOC-012 (Filtrar Datos del Dashboard). Transformar dashboard estático en herramienta interactiva con filtros dinámicos.</t>
  </si>
  <si>
    <t>Proyectos de Spring Boot y React. Librería de gráficos.</t>
  </si>
  <si>
    <t>15 días hábiles (3 semanas)</t>
  </si>
  <si>
    <t>Sprint Goal: Dashboard interactivo con filtros y comparativas para análisis detallado.</t>
  </si>
  <si>
    <t>Hito 2: Entrega de Avance de Proyecto</t>
  </si>
  <si>
    <t>Entregar el informe de avance y demostrar el software funcional desarrollado hasta la fecha.</t>
  </si>
  <si>
    <t>Informe de Avance. Incremento de Software.</t>
  </si>
  <si>
    <t>Punto de control clave para evaluar el progreso del desarrollo.</t>
  </si>
  <si>
    <t>Arquitectura de Software; Programación de Software</t>
  </si>
  <si>
    <t>Sprint 3: Gobernanza Completa (42 SP)</t>
  </si>
  <si>
    <t>Implementar historias: IOC-002 (Validar Datos Automáticamente), IOC-003 (Configurar KPIs y Umbrales), IOC-019 (Gestionar Gráficos del Dashboard), IOC-020 (Diseñar Disposición del Dashboard). Panel de administración completo.</t>
  </si>
  <si>
    <t>Proyectos de Spring Boot y React.</t>
  </si>
  <si>
    <t>20 días hábiles (4 semanas)</t>
  </si>
  <si>
    <t>Sprint Goal: Control total sobre contenido analítico, usuarios y configuración. MVP completo.</t>
  </si>
  <si>
    <t>Hito 3: Entrega Final del Proyecto</t>
  </si>
  <si>
    <t>Entregar el informe final y el producto MVP completo con las 11 historias de usuario implementadas, cumpliendo con todos los requisitos definidos.</t>
  </si>
  <si>
    <t>Informe Final. MVP Completo (104 SP).</t>
  </si>
  <si>
    <t>Marca la finalización del ciclo de desarrollo del MVP Core.</t>
  </si>
  <si>
    <t>Gestión de Proyectos Informáticos; Calidad de Software</t>
  </si>
  <si>
    <t>Identificar fortalezas y debilidades del proyecto</t>
  </si>
  <si>
    <t>Realizar una retrospectiva final del proyecto para analizar los éxitos, los fracasos y las lecciones aprendidas durante todo el ciclo de vida.</t>
  </si>
  <si>
    <t>Acta de Retrospectiva Final.</t>
  </si>
  <si>
    <t>Fomenta la mejora continua y el aprendizaje profesional.</t>
  </si>
  <si>
    <t>Documentación</t>
  </si>
  <si>
    <t>Consolidar y refinar toda la documentación técnica (arquitectura, despliegue) y de usuario (manuales) del proyecto.</t>
  </si>
  <si>
    <t>Documentos del proyecto.</t>
  </si>
  <si>
    <t>Asegura la transferibilidad y el mantenimiento futuro de la solución.</t>
  </si>
  <si>
    <t>Habilidades de Comunicación</t>
  </si>
  <si>
    <t>Preparación y Defensa</t>
  </si>
  <si>
    <t>Crear el material de apoyo (diapositivas) y ensayar la presentación final para la defensa del proyecto ante la comisión.</t>
  </si>
  <si>
    <t>Presentación PPT.</t>
  </si>
  <si>
    <t>Hito: Culmina con Presentación Final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</si>
</sst>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0"/>
    </xf>
    <xf borderId="2" fillId="0" fontId="3" numFmtId="164" xfId="0" applyAlignment="1" applyBorder="1" applyFont="1" applyNumberFormat="1">
      <alignment shrinkToFit="0" vertical="center" wrapText="0"/>
    </xf>
    <xf borderId="3" fillId="0" fontId="3" numFmtId="164" xfId="0" applyAlignment="1" applyBorder="1" applyFont="1" applyNumberFormat="1">
      <alignment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readingOrder="0" shrinkToFit="0" vertical="center" wrapText="0"/>
    </xf>
    <xf borderId="1" fillId="3" fontId="4" numFmtId="0" xfId="0" applyAlignment="1" applyBorder="1" applyFill="1" applyFont="1">
      <alignment readingOrder="0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4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gregar calculo mensual de las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" displayName="Proyecto_Costos_Totales" name="Proyecto_Costos_Totales" id="1">
  <tableColumns count="5">
    <tableColumn name="Categoría" id="1"/>
    <tableColumn name="Ítem/Detalle" id="2"/>
    <tableColumn name="Horas (HH)" id="3"/>
    <tableColumn name="Costo Mensual Promedio (CLP)" id="4"/>
    <tableColumn name="Costo Total del Proyecto  (CLP)" id="5"/>
  </tableColumns>
  <tableStyleInfo name="agregar calculo mensual de la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tabase.com" TargetMode="External"/><Relationship Id="rId2" Type="http://schemas.openxmlformats.org/officeDocument/2006/relationships/hyperlink" Target="https://supabase.com" TargetMode="External"/><Relationship Id="rId3" Type="http://schemas.openxmlformats.org/officeDocument/2006/relationships/hyperlink" Target="https://render.com" TargetMode="External"/><Relationship Id="rId4" Type="http://schemas.openxmlformats.org/officeDocument/2006/relationships/hyperlink" Target="https://aws.amazon.com/ec2/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25.75"/>
    <col customWidth="1" min="3" max="3" width="13.0"/>
    <col customWidth="1" min="4" max="4" width="17.63"/>
    <col customWidth="1" min="5" max="5" width="19.38"/>
  </cols>
  <sheetData>
    <row r="1" ht="59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D2" s="4"/>
      <c r="E2" s="5"/>
    </row>
    <row r="3">
      <c r="B3" s="3" t="s">
        <v>6</v>
      </c>
      <c r="C3" s="3" t="s">
        <v>7</v>
      </c>
      <c r="D3" s="6">
        <v>117645.0</v>
      </c>
      <c r="E3" s="6">
        <v>323525.0</v>
      </c>
    </row>
    <row r="4">
      <c r="B4" s="7" t="s">
        <v>8</v>
      </c>
      <c r="C4" s="7" t="s">
        <v>7</v>
      </c>
      <c r="D4" s="8">
        <v>79050.0</v>
      </c>
      <c r="E4" s="8">
        <v>217388.0</v>
      </c>
    </row>
    <row r="5">
      <c r="B5" s="7" t="s">
        <v>9</v>
      </c>
      <c r="C5" s="7" t="s">
        <v>7</v>
      </c>
      <c r="D5" s="8">
        <v>23250.0</v>
      </c>
      <c r="E5" s="8">
        <v>63938.0</v>
      </c>
    </row>
    <row r="6">
      <c r="B6" s="7" t="s">
        <v>10</v>
      </c>
      <c r="C6" s="7" t="s">
        <v>7</v>
      </c>
      <c r="D6" s="8">
        <v>6510.0</v>
      </c>
      <c r="E6" s="8">
        <v>17903.0</v>
      </c>
    </row>
    <row r="7">
      <c r="B7" s="7" t="s">
        <v>11</v>
      </c>
      <c r="C7" s="7" t="s">
        <v>7</v>
      </c>
      <c r="D7" s="8">
        <v>8835.0</v>
      </c>
      <c r="E7" s="8">
        <v>24296.0</v>
      </c>
    </row>
    <row r="8">
      <c r="D8" s="4"/>
      <c r="E8" s="5"/>
    </row>
    <row r="9">
      <c r="B9" s="3" t="s">
        <v>12</v>
      </c>
      <c r="C9" s="3">
        <v>440.0</v>
      </c>
      <c r="D9" s="6">
        <v>6320960.0</v>
      </c>
      <c r="E9" s="6">
        <v>1.738264E7</v>
      </c>
    </row>
    <row r="10">
      <c r="B10" s="7" t="s">
        <v>13</v>
      </c>
      <c r="C10" s="7">
        <v>264.0</v>
      </c>
      <c r="D10" s="8">
        <v>3792576.0</v>
      </c>
      <c r="E10" s="8">
        <v>1.0429584E7</v>
      </c>
    </row>
    <row r="11">
      <c r="B11" s="7" t="s">
        <v>14</v>
      </c>
      <c r="C11" s="7">
        <v>176.0</v>
      </c>
      <c r="D11" s="8">
        <v>2528384.0</v>
      </c>
      <c r="E11" s="8">
        <v>6953056.0</v>
      </c>
    </row>
    <row r="12">
      <c r="D12" s="4"/>
      <c r="E12" s="5"/>
    </row>
    <row r="13">
      <c r="A13" s="9" t="s">
        <v>15</v>
      </c>
      <c r="B13" s="10"/>
      <c r="C13" s="9">
        <v>440.0</v>
      </c>
      <c r="D13" s="11">
        <v>6438605.0</v>
      </c>
      <c r="E13" s="11">
        <f>SUM(E3,E9)</f>
        <v>17706165</v>
      </c>
    </row>
    <row r="15">
      <c r="B15" s="12" t="s">
        <v>16</v>
      </c>
    </row>
    <row r="16">
      <c r="B16" s="13" t="s">
        <v>17</v>
      </c>
    </row>
    <row r="21">
      <c r="B21" s="14" t="s">
        <v>18</v>
      </c>
    </row>
    <row r="22">
      <c r="B22" s="14" t="s">
        <v>19</v>
      </c>
    </row>
    <row r="23">
      <c r="B23" s="14" t="s">
        <v>20</v>
      </c>
    </row>
    <row r="24">
      <c r="B24" s="14" t="s">
        <v>21</v>
      </c>
    </row>
  </sheetData>
  <mergeCells count="1">
    <mergeCell ref="B16:E20"/>
  </mergeCells>
  <dataValidations>
    <dataValidation type="custom" allowBlank="1" showDropDown="1" sqref="D2:E13">
      <formula1>AND(ISNUMBER(D2),(NOT(OR(NOT(ISERROR(DATEVALUE(D2))), AND(ISNUMBER(D2), LEFT(CELL("format", D2))="D")))))</formula1>
    </dataValidation>
  </dataValidations>
  <hyperlinks>
    <hyperlink r:id="rId1" ref="B21"/>
    <hyperlink r:id="rId2" ref="B22"/>
    <hyperlink r:id="rId3" ref="B23"/>
    <hyperlink r:id="rId4" ref="B24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7" max="7" width="64.63"/>
  </cols>
  <sheetData>
    <row r="1">
      <c r="A1" s="15" t="s">
        <v>22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27</v>
      </c>
      <c r="G1" s="15" t="s">
        <v>28</v>
      </c>
    </row>
    <row r="2">
      <c r="A2" s="15" t="s">
        <v>29</v>
      </c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</row>
    <row r="3">
      <c r="A3" s="15" t="s">
        <v>29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34</v>
      </c>
      <c r="G3" s="15" t="s">
        <v>40</v>
      </c>
    </row>
    <row r="4">
      <c r="A4" s="15" t="s">
        <v>41</v>
      </c>
      <c r="B4" s="15" t="s">
        <v>42</v>
      </c>
      <c r="C4" s="15" t="s">
        <v>43</v>
      </c>
      <c r="D4" s="15" t="s">
        <v>44</v>
      </c>
      <c r="E4" s="15" t="s">
        <v>45</v>
      </c>
      <c r="F4" s="15" t="s">
        <v>46</v>
      </c>
      <c r="G4" s="15" t="s">
        <v>47</v>
      </c>
    </row>
    <row r="5">
      <c r="A5" s="15" t="s">
        <v>29</v>
      </c>
      <c r="B5" s="15" t="s">
        <v>48</v>
      </c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</row>
    <row r="6">
      <c r="A6" s="15" t="s">
        <v>54</v>
      </c>
      <c r="B6" s="15" t="s">
        <v>55</v>
      </c>
      <c r="C6" s="15" t="s">
        <v>56</v>
      </c>
      <c r="D6" s="15" t="s">
        <v>57</v>
      </c>
      <c r="E6" s="15" t="s">
        <v>39</v>
      </c>
      <c r="F6" s="15" t="s">
        <v>34</v>
      </c>
      <c r="G6" s="15" t="s">
        <v>58</v>
      </c>
    </row>
    <row r="7">
      <c r="A7" s="15" t="s">
        <v>59</v>
      </c>
      <c r="B7" s="15" t="s">
        <v>60</v>
      </c>
      <c r="C7" s="15" t="s">
        <v>61</v>
      </c>
      <c r="D7" s="15" t="s">
        <v>62</v>
      </c>
      <c r="E7" s="15" t="s">
        <v>39</v>
      </c>
      <c r="F7" s="15" t="s">
        <v>34</v>
      </c>
      <c r="G7" s="15" t="s">
        <v>63</v>
      </c>
    </row>
    <row r="8">
      <c r="A8" s="15" t="s">
        <v>64</v>
      </c>
      <c r="B8" s="15" t="s">
        <v>65</v>
      </c>
      <c r="C8" s="15" t="s">
        <v>66</v>
      </c>
      <c r="D8" s="15" t="s">
        <v>67</v>
      </c>
      <c r="E8" s="15" t="s">
        <v>45</v>
      </c>
      <c r="F8" s="15" t="s">
        <v>34</v>
      </c>
      <c r="G8" s="15" t="s">
        <v>68</v>
      </c>
    </row>
    <row r="9">
      <c r="A9" s="15" t="s">
        <v>29</v>
      </c>
      <c r="B9" s="15" t="s">
        <v>69</v>
      </c>
      <c r="C9" s="15" t="s">
        <v>70</v>
      </c>
      <c r="D9" s="15" t="s">
        <v>71</v>
      </c>
      <c r="E9" s="15" t="s">
        <v>72</v>
      </c>
      <c r="F9" s="15" t="s">
        <v>34</v>
      </c>
      <c r="G9" s="15" t="s">
        <v>73</v>
      </c>
    </row>
    <row r="10">
      <c r="A10" s="15" t="s">
        <v>74</v>
      </c>
      <c r="B10" s="15" t="s">
        <v>75</v>
      </c>
      <c r="C10" s="15" t="s">
        <v>76</v>
      </c>
      <c r="D10" s="15" t="s">
        <v>77</v>
      </c>
      <c r="E10" s="15" t="s">
        <v>78</v>
      </c>
      <c r="F10" s="15" t="s">
        <v>79</v>
      </c>
      <c r="G10" s="15" t="s">
        <v>80</v>
      </c>
    </row>
    <row r="11">
      <c r="A11" s="15" t="s">
        <v>81</v>
      </c>
      <c r="B11" s="15" t="s">
        <v>82</v>
      </c>
      <c r="C11" s="15" t="s">
        <v>83</v>
      </c>
      <c r="D11" s="15" t="s">
        <v>84</v>
      </c>
      <c r="E11" s="15" t="s">
        <v>85</v>
      </c>
      <c r="F11" s="15" t="s">
        <v>79</v>
      </c>
      <c r="G11" s="15" t="s">
        <v>86</v>
      </c>
    </row>
    <row r="12">
      <c r="A12" s="15" t="s">
        <v>29</v>
      </c>
      <c r="B12" s="15" t="s">
        <v>87</v>
      </c>
      <c r="C12" s="15" t="s">
        <v>88</v>
      </c>
      <c r="D12" s="15" t="s">
        <v>89</v>
      </c>
      <c r="E12" s="15" t="s">
        <v>72</v>
      </c>
      <c r="F12" s="15" t="s">
        <v>34</v>
      </c>
      <c r="G12" s="15" t="s">
        <v>90</v>
      </c>
    </row>
    <row r="13">
      <c r="A13" s="15" t="s">
        <v>91</v>
      </c>
      <c r="B13" s="15" t="s">
        <v>92</v>
      </c>
      <c r="C13" s="15" t="s">
        <v>93</v>
      </c>
      <c r="D13" s="15" t="s">
        <v>94</v>
      </c>
      <c r="E13" s="15" t="s">
        <v>95</v>
      </c>
      <c r="F13" s="15" t="s">
        <v>79</v>
      </c>
      <c r="G13" s="15" t="s">
        <v>96</v>
      </c>
    </row>
    <row r="14">
      <c r="A14" s="15" t="s">
        <v>29</v>
      </c>
      <c r="B14" s="15" t="s">
        <v>97</v>
      </c>
      <c r="C14" s="15" t="s">
        <v>98</v>
      </c>
      <c r="D14" s="15" t="s">
        <v>99</v>
      </c>
      <c r="E14" s="15" t="s">
        <v>72</v>
      </c>
      <c r="F14" s="15" t="s">
        <v>34</v>
      </c>
      <c r="G14" s="15" t="s">
        <v>100</v>
      </c>
    </row>
    <row r="15">
      <c r="A15" s="15" t="s">
        <v>101</v>
      </c>
      <c r="B15" s="15" t="s">
        <v>102</v>
      </c>
      <c r="C15" s="15" t="s">
        <v>103</v>
      </c>
      <c r="D15" s="15" t="s">
        <v>104</v>
      </c>
      <c r="E15" s="15" t="s">
        <v>33</v>
      </c>
      <c r="F15" s="15" t="s">
        <v>34</v>
      </c>
      <c r="G15" s="15" t="s">
        <v>105</v>
      </c>
    </row>
    <row r="16">
      <c r="A16" s="15" t="s">
        <v>29</v>
      </c>
      <c r="B16" s="15" t="s">
        <v>106</v>
      </c>
      <c r="C16" s="15" t="s">
        <v>107</v>
      </c>
      <c r="D16" s="15" t="s">
        <v>108</v>
      </c>
      <c r="E16" s="15" t="s">
        <v>45</v>
      </c>
      <c r="F16" s="15" t="s">
        <v>34</v>
      </c>
      <c r="G16" s="15" t="s">
        <v>109</v>
      </c>
    </row>
    <row r="17">
      <c r="A17" s="15" t="s">
        <v>110</v>
      </c>
      <c r="B17" s="15" t="s">
        <v>111</v>
      </c>
      <c r="C17" s="15" t="s">
        <v>112</v>
      </c>
      <c r="D17" s="15" t="s">
        <v>113</v>
      </c>
      <c r="E17" s="15" t="s">
        <v>45</v>
      </c>
      <c r="F17" s="15" t="s">
        <v>34</v>
      </c>
      <c r="G17" s="15" t="s">
        <v>114</v>
      </c>
    </row>
  </sheetData>
  <drawing r:id="rId1"/>
</worksheet>
</file>